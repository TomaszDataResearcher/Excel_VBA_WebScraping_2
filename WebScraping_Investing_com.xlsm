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kwasn\Documents\"/>
    </mc:Choice>
  </mc:AlternateContent>
  <xr:revisionPtr revIDLastSave="0" documentId="13_ncr:1_{1FCCD6E5-588C-459F-87BD-E2B30BB2FB47}" xr6:coauthVersionLast="47" xr6:coauthVersionMax="47" xr10:uidLastSave="{00000000-0000-0000-0000-000000000000}"/>
  <bookViews>
    <workbookView xWindow="20370" yWindow="-2250" windowWidth="25440" windowHeight="15390" xr2:uid="{2C52F745-FCCD-4260-BEE8-7FF94E258F8F}"/>
  </bookViews>
  <sheets>
    <sheet name="Data" sheetId="1" r:id="rId1"/>
    <sheet name="List" sheetId="3" r:id="rId2"/>
  </sheets>
  <definedNames>
    <definedName name="sListing">Data!$O$21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1" l="1"/>
</calcChain>
</file>

<file path=xl/sharedStrings.xml><?xml version="1.0" encoding="utf-8"?>
<sst xmlns="http://schemas.openxmlformats.org/spreadsheetml/2006/main" count="44" uniqueCount="22">
  <si>
    <t>-</t>
  </si>
  <si>
    <t>0.03K</t>
  </si>
  <si>
    <t>0.01K</t>
  </si>
  <si>
    <t>Date</t>
  </si>
  <si>
    <t>Price</t>
  </si>
  <si>
    <t>Open</t>
  </si>
  <si>
    <t>High</t>
  </si>
  <si>
    <t>Low</t>
  </si>
  <si>
    <t>Vol.</t>
  </si>
  <si>
    <t>Change %</t>
  </si>
  <si>
    <t>0.53K</t>
  </si>
  <si>
    <t>0.05K</t>
  </si>
  <si>
    <t>0.14K</t>
  </si>
  <si>
    <t>Naturgy Energy Group SA (GAS)</t>
  </si>
  <si>
    <t>https://www.investing.com/equities/gas-natural-sdg-historical-data?cid=963330</t>
  </si>
  <si>
    <t>Coal (API2) CIF ARA (ARGUS-McCloskey) Futures</t>
  </si>
  <si>
    <t>https://www.investing.com/commodities/coal-(api2)-cif-ara-futures-historical-data</t>
  </si>
  <si>
    <t>https://www.investing.com/commodities/crude-oil-urals-spot-futures-historical-data</t>
  </si>
  <si>
    <t>Crude Oil Urals Europe CFR Spot</t>
  </si>
  <si>
    <t>Choose fixture:</t>
  </si>
  <si>
    <t>Available listings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</si>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</sst>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0.249977111117893"/>
      <name val="Calibri"/>
      <family val="2"/>
      <charset val="238"/>
      <scheme val="minor"/>
    </font>
    <font>
      <sz val="9"/>
      <color theme="0"/>
      <name val="Calibri"/>
      <family val="2"/>
      <charset val="238"/>
      <scheme val="minor"/>
    </font>
    <font>
      <b/>
      <i/>
      <sz val="16"/>
      <color theme="0"/>
      <name val="Calibri"/>
      <family val="2"/>
      <charset val="238"/>
      <scheme val="minor"/>
    </font>
    <font>
      <sz val="11"/>
      <color theme="7" tint="0.79998168889431442"/>
      <name val="Calibri"/>
      <family val="2"/>
      <charset val="238"/>
      <scheme val="minor"/>
    </font>
    <font>
      <b/>
      <i/>
      <sz val="11"/>
      <color theme="7" tint="0.79998168889431442"/>
      <name val="Calibri"/>
      <family val="2"/>
      <charset val="238"/>
      <scheme val="minor"/>
    </font>
    <font>
      <b/>
      <i/>
      <sz val="12"/>
      <color theme="7" tint="0.79998168889431442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</fills>
  <borders count="21">
    <border>
      <left/>
      <right/>
      <top/>
      <bottom/>
      <diagonal/>
    </border>
    <border>
      <left style="thin">
        <color theme="1" tint="0.499984740745262"/>
      </left>
      <right style="dotted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dotted">
        <color theme="1" tint="0.499984740745262"/>
      </left>
      <right style="dotted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dotted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dotted">
        <color theme="1" tint="0.499984740745262"/>
      </right>
      <top style="thin">
        <color theme="1" tint="0.499984740745262"/>
      </top>
      <bottom/>
      <diagonal/>
    </border>
    <border>
      <left style="dotted">
        <color theme="1" tint="0.499984740745262"/>
      </left>
      <right style="dotted">
        <color theme="1" tint="0.499984740745262"/>
      </right>
      <top style="thin">
        <color theme="1" tint="0.499984740745262"/>
      </top>
      <bottom/>
      <diagonal/>
    </border>
    <border>
      <left style="dotted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dotted">
        <color theme="1" tint="0.499984740745262"/>
      </right>
      <top/>
      <bottom/>
      <diagonal/>
    </border>
    <border>
      <left style="dotted">
        <color theme="1" tint="0.499984740745262"/>
      </left>
      <right style="dotted">
        <color theme="1" tint="0.499984740745262"/>
      </right>
      <top/>
      <bottom/>
      <diagonal/>
    </border>
    <border>
      <left style="dotted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dotted">
        <color theme="1" tint="0.499984740745262"/>
      </right>
      <top/>
      <bottom style="thin">
        <color theme="1" tint="0.499984740745262"/>
      </bottom>
      <diagonal/>
    </border>
    <border>
      <left style="dotted">
        <color theme="1" tint="0.499984740745262"/>
      </left>
      <right style="dotted">
        <color theme="1" tint="0.499984740745262"/>
      </right>
      <top/>
      <bottom style="thin">
        <color theme="1" tint="0.499984740745262"/>
      </bottom>
      <diagonal/>
    </border>
    <border>
      <left style="dotted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2" borderId="0" xfId="0" applyFill="1"/>
    <xf numFmtId="0" fontId="1" fillId="3" borderId="2" xfId="0" applyFont="1" applyFill="1" applyBorder="1"/>
    <xf numFmtId="15" fontId="2" fillId="2" borderId="4" xfId="0" applyNumberFormat="1" applyFont="1" applyFill="1" applyBorder="1"/>
    <xf numFmtId="2" fontId="2" fillId="2" borderId="5" xfId="0" applyNumberFormat="1" applyFont="1" applyFill="1" applyBorder="1"/>
    <xf numFmtId="0" fontId="2" fillId="2" borderId="5" xfId="0" applyFont="1" applyFill="1" applyBorder="1" applyAlignment="1">
      <alignment horizontal="right"/>
    </xf>
    <xf numFmtId="10" fontId="2" fillId="2" borderId="6" xfId="0" applyNumberFormat="1" applyFont="1" applyFill="1" applyBorder="1"/>
    <xf numFmtId="15" fontId="2" fillId="2" borderId="7" xfId="0" applyNumberFormat="1" applyFont="1" applyFill="1" applyBorder="1"/>
    <xf numFmtId="2" fontId="2" fillId="2" borderId="8" xfId="0" applyNumberFormat="1" applyFont="1" applyFill="1" applyBorder="1"/>
    <xf numFmtId="0" fontId="2" fillId="2" borderId="8" xfId="0" applyFont="1" applyFill="1" applyBorder="1" applyAlignment="1">
      <alignment horizontal="right"/>
    </xf>
    <xf numFmtId="10" fontId="2" fillId="2" borderId="9" xfId="0" applyNumberFormat="1" applyFont="1" applyFill="1" applyBorder="1"/>
    <xf numFmtId="15" fontId="2" fillId="2" borderId="10" xfId="0" applyNumberFormat="1" applyFont="1" applyFill="1" applyBorder="1"/>
    <xf numFmtId="2" fontId="2" fillId="2" borderId="11" xfId="0" applyNumberFormat="1" applyFont="1" applyFill="1" applyBorder="1"/>
    <xf numFmtId="0" fontId="2" fillId="2" borderId="11" xfId="0" applyFont="1" applyFill="1" applyBorder="1" applyAlignment="1">
      <alignment horizontal="right"/>
    </xf>
    <xf numFmtId="10" fontId="2" fillId="2" borderId="12" xfId="0" applyNumberFormat="1" applyFont="1" applyFill="1" applyBorder="1"/>
    <xf numFmtId="0" fontId="0" fillId="2" borderId="16" xfId="0" applyFill="1" applyBorder="1"/>
    <xf numFmtId="0" fontId="0" fillId="2" borderId="0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1" fillId="2" borderId="0" xfId="0" applyFont="1" applyFill="1"/>
    <xf numFmtId="0" fontId="3" fillId="2" borderId="0" xfId="0" applyFont="1" applyFill="1" applyAlignment="1">
      <alignment horizontal="left"/>
    </xf>
    <xf numFmtId="0" fontId="4" fillId="2" borderId="13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15" fontId="1" fillId="3" borderId="1" xfId="0" applyNumberFormat="1" applyFont="1" applyFill="1" applyBorder="1"/>
    <xf numFmtId="10" fontId="1" fillId="3" borderId="3" xfId="0" applyNumberFormat="1" applyFont="1" applyFill="1" applyBorder="1"/>
    <xf numFmtId="0" fontId="0" fillId="4" borderId="0" xfId="0" applyFill="1"/>
    <xf numFmtId="0" fontId="5" fillId="4" borderId="0" xfId="0" applyFont="1" applyFill="1"/>
    <xf numFmtId="0" fontId="6" fillId="4" borderId="0" xfId="0" applyFont="1" applyFill="1"/>
    <xf numFmtId="0" fontId="7" fillId="4" borderId="0" xfId="0" applyFont="1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ARA - Futures Fixtures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Data!$B$3:$B$23</c:f>
              <c:numCache>
                <c:formatCode>d\-mmm\-yy</c:formatCode>
                <c:ptCount val="21"/>
                <c:pt idx="0">
                  <c:v>44533</c:v>
                </c:pt>
                <c:pt idx="1">
                  <c:v>44532</c:v>
                </c:pt>
                <c:pt idx="2">
                  <c:v>44531</c:v>
                </c:pt>
                <c:pt idx="3">
                  <c:v>44530</c:v>
                </c:pt>
                <c:pt idx="4">
                  <c:v>44529</c:v>
                </c:pt>
                <c:pt idx="5">
                  <c:v>44526</c:v>
                </c:pt>
                <c:pt idx="6">
                  <c:v>44525</c:v>
                </c:pt>
                <c:pt idx="7">
                  <c:v>44524</c:v>
                </c:pt>
                <c:pt idx="8">
                  <c:v>44523</c:v>
                </c:pt>
                <c:pt idx="9">
                  <c:v>44522</c:v>
                </c:pt>
                <c:pt idx="10">
                  <c:v>44519</c:v>
                </c:pt>
                <c:pt idx="11">
                  <c:v>44518</c:v>
                </c:pt>
                <c:pt idx="12">
                  <c:v>44517</c:v>
                </c:pt>
                <c:pt idx="13">
                  <c:v>44516</c:v>
                </c:pt>
                <c:pt idx="14">
                  <c:v>44515</c:v>
                </c:pt>
                <c:pt idx="15">
                  <c:v>44512</c:v>
                </c:pt>
                <c:pt idx="16">
                  <c:v>44511</c:v>
                </c:pt>
                <c:pt idx="17">
                  <c:v>44510</c:v>
                </c:pt>
                <c:pt idx="18">
                  <c:v>44509</c:v>
                </c:pt>
                <c:pt idx="19">
                  <c:v>44508</c:v>
                </c:pt>
                <c:pt idx="20">
                  <c:v>44505</c:v>
                </c:pt>
              </c:numCache>
            </c:numRef>
          </c:cat>
          <c:val>
            <c:numRef>
              <c:f>Data!$C$3:$C$23</c:f>
              <c:numCache>
                <c:formatCode>0.00</c:formatCode>
                <c:ptCount val="21"/>
                <c:pt idx="0">
                  <c:v>24.42</c:v>
                </c:pt>
                <c:pt idx="1">
                  <c:v>24.38</c:v>
                </c:pt>
                <c:pt idx="2">
                  <c:v>24.57</c:v>
                </c:pt>
                <c:pt idx="3">
                  <c:v>24.53</c:v>
                </c:pt>
                <c:pt idx="4">
                  <c:v>24.75</c:v>
                </c:pt>
                <c:pt idx="5">
                  <c:v>24.19</c:v>
                </c:pt>
                <c:pt idx="6">
                  <c:v>24.31</c:v>
                </c:pt>
                <c:pt idx="7">
                  <c:v>23.92</c:v>
                </c:pt>
                <c:pt idx="8">
                  <c:v>23.94</c:v>
                </c:pt>
                <c:pt idx="9">
                  <c:v>23.86</c:v>
                </c:pt>
                <c:pt idx="10">
                  <c:v>22.96</c:v>
                </c:pt>
                <c:pt idx="11">
                  <c:v>22.49</c:v>
                </c:pt>
                <c:pt idx="12">
                  <c:v>22.92</c:v>
                </c:pt>
                <c:pt idx="13">
                  <c:v>22.66</c:v>
                </c:pt>
                <c:pt idx="14">
                  <c:v>22.66</c:v>
                </c:pt>
                <c:pt idx="15">
                  <c:v>22.48</c:v>
                </c:pt>
                <c:pt idx="16">
                  <c:v>22.61</c:v>
                </c:pt>
                <c:pt idx="17">
                  <c:v>23.07</c:v>
                </c:pt>
                <c:pt idx="18">
                  <c:v>23.26</c:v>
                </c:pt>
                <c:pt idx="19">
                  <c:v>23.11</c:v>
                </c:pt>
                <c:pt idx="20">
                  <c:v>23.45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AD-4A1D-84AF-C6A94686B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03965640"/>
        <c:axId val="403967280"/>
      </c:barChart>
      <c:dateAx>
        <c:axId val="403965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3967280"/>
        <c:crosses val="autoZero"/>
        <c:auto val="1"/>
        <c:lblOffset val="100"/>
        <c:baseTimeUnit val="days"/>
      </c:dateAx>
      <c:valAx>
        <c:axId val="40396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  <a:r>
                  <a:rPr lang="pl-PL"/>
                  <a:t>,</a:t>
                </a:r>
                <a:r>
                  <a:rPr lang="en-US"/>
                  <a:t> 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396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600075</xdr:colOff>
      <xdr:row>18</xdr:row>
      <xdr:rowOff>180975</xdr:rowOff>
    </xdr:from>
    <xdr:to>
      <xdr:col>13</xdr:col>
      <xdr:colOff>171450</xdr:colOff>
      <xdr:row>23</xdr:row>
      <xdr:rowOff>19050</xdr:rowOff>
    </xdr:to>
    <xdr:sp macro="[0]!DownloadData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4441B177-E3A9-46B5-9B64-C99AE51BE970}"/>
            </a:ext>
          </a:extLst>
        </xdr:cNvPr>
        <xdr:cNvSpPr/>
      </xdr:nvSpPr>
      <xdr:spPr>
        <a:xfrm>
          <a:off x="5476875" y="3609975"/>
          <a:ext cx="2619375" cy="79057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/>
            <a:t>Download fresh data</a:t>
          </a:r>
        </a:p>
      </xdr:txBody>
    </xdr:sp>
    <xdr:clientData/>
  </xdr:twoCellAnchor>
  <xdr:twoCellAnchor>
    <xdr:from>
      <xdr:col>9</xdr:col>
      <xdr:colOff>28574</xdr:colOff>
      <xdr:row>3</xdr:row>
      <xdr:rowOff>85725</xdr:rowOff>
    </xdr:from>
    <xdr:to>
      <xdr:col>16</xdr:col>
      <xdr:colOff>590549</xdr:colOff>
      <xdr:row>17</xdr:row>
      <xdr:rowOff>161925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9A52BA01-4B99-4000-9833-50EEFF6A09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1603E-070C-408E-9A17-5F541818431D}">
  <sheetPr codeName="wksData"/>
  <dimension ref="B2:Q23"/>
  <sheetViews>
    <sheetView tabSelected="1" workbookViewId="0">
      <selection activeCell="O21" sqref="O21:Q21"/>
    </sheetView>
  </sheetViews>
  <sheetFormatPr defaultRowHeight="15" x14ac:dyDescent="0.25"/>
  <cols>
    <col min="1" max="16384" width="9.140625" style="1"/>
  </cols>
  <sheetData>
    <row r="2" spans="2:17" x14ac:dyDescent="0.25">
      <c r="B2" s="29" t="s">
        <v>3</v>
      </c>
      <c r="C2" s="2" t="s">
        <v>4</v>
      </c>
      <c r="D2" s="2" t="s">
        <v>5</v>
      </c>
      <c r="E2" s="2" t="s">
        <v>6</v>
      </c>
      <c r="F2" s="2" t="s">
        <v>7</v>
      </c>
      <c r="G2" s="2" t="s">
        <v>8</v>
      </c>
      <c r="H2" s="30" t="s">
        <v>9</v>
      </c>
      <c r="J2" s="23" t="str">
        <f>O21</f>
        <v>Naturgy Energy Group SA (GAS)</v>
      </c>
      <c r="K2" s="24"/>
      <c r="L2" s="24"/>
      <c r="M2" s="24"/>
      <c r="N2" s="24"/>
      <c r="O2" s="24"/>
      <c r="P2" s="24"/>
      <c r="Q2" s="25"/>
    </row>
    <row r="3" spans="2:17" x14ac:dyDescent="0.25">
      <c r="B3" s="3">
        <v>44533</v>
      </c>
      <c r="C3" s="4">
        <v>24.42</v>
      </c>
      <c r="D3" s="4">
        <v>24.22</v>
      </c>
      <c r="E3" s="4">
        <v>24.47</v>
      </c>
      <c r="F3" s="4">
        <v>24.21</v>
      </c>
      <c r="G3" s="5" t="s">
        <v>0</v>
      </c>
      <c r="H3" s="6">
        <v>1.6000000000000001E-3</v>
      </c>
      <c r="J3" s="26"/>
      <c r="K3" s="27"/>
      <c r="L3" s="27"/>
      <c r="M3" s="27"/>
      <c r="N3" s="27"/>
      <c r="O3" s="27"/>
      <c r="P3" s="27"/>
      <c r="Q3" s="28"/>
    </row>
    <row r="4" spans="2:17" x14ac:dyDescent="0.25">
      <c r="B4" s="7">
        <v>44532</v>
      </c>
      <c r="C4" s="8">
        <v>24.38</v>
      </c>
      <c r="D4" s="8">
        <v>24.2</v>
      </c>
      <c r="E4" s="8">
        <v>24.44</v>
      </c>
      <c r="F4" s="8">
        <v>24.19</v>
      </c>
      <c r="G4" s="9" t="s">
        <v>0</v>
      </c>
      <c r="H4" s="10">
        <v>-7.7000000000000002E-3</v>
      </c>
      <c r="J4" s="15"/>
      <c r="K4" s="16"/>
      <c r="L4" s="16"/>
      <c r="M4" s="16"/>
      <c r="N4" s="16"/>
      <c r="O4" s="16"/>
      <c r="P4" s="16"/>
      <c r="Q4" s="17"/>
    </row>
    <row r="5" spans="2:17" x14ac:dyDescent="0.25">
      <c r="B5" s="7">
        <v>44531</v>
      </c>
      <c r="C5" s="8">
        <v>24.57</v>
      </c>
      <c r="D5" s="8">
        <v>24.37</v>
      </c>
      <c r="E5" s="8">
        <v>24.57</v>
      </c>
      <c r="F5" s="8">
        <v>24.27</v>
      </c>
      <c r="G5" s="9" t="s">
        <v>0</v>
      </c>
      <c r="H5" s="10">
        <v>1.6000000000000001E-3</v>
      </c>
      <c r="J5" s="15"/>
      <c r="K5" s="16"/>
      <c r="L5" s="16"/>
      <c r="M5" s="16"/>
      <c r="N5" s="16"/>
      <c r="O5" s="16"/>
      <c r="P5" s="16"/>
      <c r="Q5" s="17"/>
    </row>
    <row r="6" spans="2:17" x14ac:dyDescent="0.25">
      <c r="B6" s="7">
        <v>44530</v>
      </c>
      <c r="C6" s="8">
        <v>24.53</v>
      </c>
      <c r="D6" s="8">
        <v>24.22</v>
      </c>
      <c r="E6" s="8">
        <v>24.56</v>
      </c>
      <c r="F6" s="8">
        <v>24.2</v>
      </c>
      <c r="G6" s="9" t="s">
        <v>10</v>
      </c>
      <c r="H6" s="10">
        <v>-8.8999999999999999E-3</v>
      </c>
      <c r="J6" s="15"/>
      <c r="K6" s="16"/>
      <c r="L6" s="16"/>
      <c r="M6" s="16"/>
      <c r="N6" s="16"/>
      <c r="O6" s="16"/>
      <c r="P6" s="16"/>
      <c r="Q6" s="17"/>
    </row>
    <row r="7" spans="2:17" x14ac:dyDescent="0.25">
      <c r="B7" s="7">
        <v>44529</v>
      </c>
      <c r="C7" s="8">
        <v>24.75</v>
      </c>
      <c r="D7" s="8">
        <v>24.25</v>
      </c>
      <c r="E7" s="8">
        <v>24.84</v>
      </c>
      <c r="F7" s="8">
        <v>24.17</v>
      </c>
      <c r="G7" s="9" t="s">
        <v>0</v>
      </c>
      <c r="H7" s="10">
        <v>2.3199999999999998E-2</v>
      </c>
      <c r="J7" s="15"/>
      <c r="K7" s="16"/>
      <c r="L7" s="16"/>
      <c r="M7" s="16"/>
      <c r="N7" s="16"/>
      <c r="O7" s="16"/>
      <c r="P7" s="16"/>
      <c r="Q7" s="17"/>
    </row>
    <row r="8" spans="2:17" x14ac:dyDescent="0.25">
      <c r="B8" s="7">
        <v>44526</v>
      </c>
      <c r="C8" s="8">
        <v>24.19</v>
      </c>
      <c r="D8" s="8">
        <v>23.87</v>
      </c>
      <c r="E8" s="8">
        <v>24.19</v>
      </c>
      <c r="F8" s="8">
        <v>23.87</v>
      </c>
      <c r="G8" s="9" t="s">
        <v>1</v>
      </c>
      <c r="H8" s="10">
        <v>-4.8999999999999998E-3</v>
      </c>
      <c r="J8" s="15"/>
      <c r="K8" s="16"/>
      <c r="L8" s="16"/>
      <c r="M8" s="16"/>
      <c r="N8" s="16"/>
      <c r="O8" s="16"/>
      <c r="P8" s="16"/>
      <c r="Q8" s="17"/>
    </row>
    <row r="9" spans="2:17" x14ac:dyDescent="0.25">
      <c r="B9" s="7">
        <v>44525</v>
      </c>
      <c r="C9" s="8">
        <v>24.31</v>
      </c>
      <c r="D9" s="8">
        <v>23.89</v>
      </c>
      <c r="E9" s="8">
        <v>24.32</v>
      </c>
      <c r="F9" s="8">
        <v>23.89</v>
      </c>
      <c r="G9" s="9" t="s">
        <v>0</v>
      </c>
      <c r="H9" s="10">
        <v>1.6299999999999999E-2</v>
      </c>
      <c r="J9" s="15"/>
      <c r="K9" s="16"/>
      <c r="L9" s="16"/>
      <c r="M9" s="16"/>
      <c r="N9" s="16"/>
      <c r="O9" s="16"/>
      <c r="P9" s="16"/>
      <c r="Q9" s="17"/>
    </row>
    <row r="10" spans="2:17" x14ac:dyDescent="0.25">
      <c r="B10" s="7">
        <v>44524</v>
      </c>
      <c r="C10" s="8">
        <v>23.92</v>
      </c>
      <c r="D10" s="8">
        <v>23.84</v>
      </c>
      <c r="E10" s="8">
        <v>24.14</v>
      </c>
      <c r="F10" s="8">
        <v>23.83</v>
      </c>
      <c r="G10" s="9" t="s">
        <v>0</v>
      </c>
      <c r="H10" s="10">
        <v>-8.0000000000000004E-4</v>
      </c>
      <c r="J10" s="15"/>
      <c r="K10" s="16"/>
      <c r="L10" s="16"/>
      <c r="M10" s="16"/>
      <c r="N10" s="16"/>
      <c r="O10" s="16"/>
      <c r="P10" s="16"/>
      <c r="Q10" s="17"/>
    </row>
    <row r="11" spans="2:17" x14ac:dyDescent="0.25">
      <c r="B11" s="7">
        <v>44523</v>
      </c>
      <c r="C11" s="8">
        <v>23.94</v>
      </c>
      <c r="D11" s="8">
        <v>23.42</v>
      </c>
      <c r="E11" s="8">
        <v>24</v>
      </c>
      <c r="F11" s="8">
        <v>23.41</v>
      </c>
      <c r="G11" s="9" t="s">
        <v>0</v>
      </c>
      <c r="H11" s="10">
        <v>3.3999999999999998E-3</v>
      </c>
      <c r="J11" s="15"/>
      <c r="K11" s="16"/>
      <c r="L11" s="16"/>
      <c r="M11" s="16"/>
      <c r="N11" s="16"/>
      <c r="O11" s="16"/>
      <c r="P11" s="16"/>
      <c r="Q11" s="17"/>
    </row>
    <row r="12" spans="2:17" x14ac:dyDescent="0.25">
      <c r="B12" s="7">
        <v>44522</v>
      </c>
      <c r="C12" s="8">
        <v>23.86</v>
      </c>
      <c r="D12" s="8">
        <v>22.82</v>
      </c>
      <c r="E12" s="8">
        <v>23.86</v>
      </c>
      <c r="F12" s="8">
        <v>22.82</v>
      </c>
      <c r="G12" s="9" t="s">
        <v>0</v>
      </c>
      <c r="H12" s="10">
        <v>3.9199999999999999E-2</v>
      </c>
      <c r="J12" s="15"/>
      <c r="K12" s="16"/>
      <c r="L12" s="16"/>
      <c r="M12" s="16"/>
      <c r="N12" s="16"/>
      <c r="O12" s="16"/>
      <c r="P12" s="16"/>
      <c r="Q12" s="17"/>
    </row>
    <row r="13" spans="2:17" x14ac:dyDescent="0.25">
      <c r="B13" s="7">
        <v>44519</v>
      </c>
      <c r="C13" s="8">
        <v>22.96</v>
      </c>
      <c r="D13" s="8">
        <v>22.45</v>
      </c>
      <c r="E13" s="8">
        <v>22.96</v>
      </c>
      <c r="F13" s="8">
        <v>22.45</v>
      </c>
      <c r="G13" s="9" t="s">
        <v>0</v>
      </c>
      <c r="H13" s="10">
        <v>2.0899999999999998E-2</v>
      </c>
      <c r="J13" s="15"/>
      <c r="K13" s="16"/>
      <c r="L13" s="16"/>
      <c r="M13" s="16"/>
      <c r="N13" s="16"/>
      <c r="O13" s="16"/>
      <c r="P13" s="16"/>
      <c r="Q13" s="17"/>
    </row>
    <row r="14" spans="2:17" x14ac:dyDescent="0.25">
      <c r="B14" s="7">
        <v>44518</v>
      </c>
      <c r="C14" s="8">
        <v>22.49</v>
      </c>
      <c r="D14" s="8">
        <v>22.74</v>
      </c>
      <c r="E14" s="8">
        <v>22.74</v>
      </c>
      <c r="F14" s="8">
        <v>22.26</v>
      </c>
      <c r="G14" s="9" t="s">
        <v>0</v>
      </c>
      <c r="H14" s="10">
        <v>-1.8800000000000001E-2</v>
      </c>
      <c r="J14" s="15"/>
      <c r="K14" s="16"/>
      <c r="L14" s="16"/>
      <c r="M14" s="16"/>
      <c r="N14" s="16"/>
      <c r="O14" s="16"/>
      <c r="P14" s="16"/>
      <c r="Q14" s="17"/>
    </row>
    <row r="15" spans="2:17" x14ac:dyDescent="0.25">
      <c r="B15" s="7">
        <v>44517</v>
      </c>
      <c r="C15" s="8">
        <v>22.92</v>
      </c>
      <c r="D15" s="8">
        <v>22.41</v>
      </c>
      <c r="E15" s="8">
        <v>22.92</v>
      </c>
      <c r="F15" s="8">
        <v>22.41</v>
      </c>
      <c r="G15" s="9" t="s">
        <v>0</v>
      </c>
      <c r="H15" s="10">
        <v>1.15E-2</v>
      </c>
      <c r="J15" s="15"/>
      <c r="K15" s="16"/>
      <c r="L15" s="16"/>
      <c r="M15" s="16"/>
      <c r="N15" s="16"/>
      <c r="O15" s="16"/>
      <c r="P15" s="16"/>
      <c r="Q15" s="17"/>
    </row>
    <row r="16" spans="2:17" x14ac:dyDescent="0.25">
      <c r="B16" s="7">
        <v>44516</v>
      </c>
      <c r="C16" s="8">
        <v>22.66</v>
      </c>
      <c r="D16" s="8">
        <v>22.44</v>
      </c>
      <c r="E16" s="8">
        <v>22.76</v>
      </c>
      <c r="F16" s="8">
        <v>22.43</v>
      </c>
      <c r="G16" s="9" t="s">
        <v>2</v>
      </c>
      <c r="H16" s="10">
        <v>0</v>
      </c>
      <c r="J16" s="15"/>
      <c r="K16" s="16"/>
      <c r="L16" s="16"/>
      <c r="M16" s="16"/>
      <c r="N16" s="16"/>
      <c r="O16" s="16"/>
      <c r="P16" s="16"/>
      <c r="Q16" s="17"/>
    </row>
    <row r="17" spans="2:17" x14ac:dyDescent="0.25">
      <c r="B17" s="7">
        <v>44515</v>
      </c>
      <c r="C17" s="8">
        <v>22.66</v>
      </c>
      <c r="D17" s="8">
        <v>22.36</v>
      </c>
      <c r="E17" s="8">
        <v>22.69</v>
      </c>
      <c r="F17" s="8">
        <v>22.36</v>
      </c>
      <c r="G17" s="9" t="s">
        <v>11</v>
      </c>
      <c r="H17" s="10">
        <v>8.0000000000000002E-3</v>
      </c>
      <c r="J17" s="15"/>
      <c r="K17" s="16"/>
      <c r="L17" s="16"/>
      <c r="M17" s="16"/>
      <c r="N17" s="16"/>
      <c r="O17" s="16"/>
      <c r="P17" s="16"/>
      <c r="Q17" s="17"/>
    </row>
    <row r="18" spans="2:17" x14ac:dyDescent="0.25">
      <c r="B18" s="7">
        <v>44512</v>
      </c>
      <c r="C18" s="8">
        <v>22.48</v>
      </c>
      <c r="D18" s="8">
        <v>22.45</v>
      </c>
      <c r="E18" s="8">
        <v>22.7</v>
      </c>
      <c r="F18" s="8">
        <v>22.39</v>
      </c>
      <c r="G18" s="9" t="s">
        <v>11</v>
      </c>
      <c r="H18" s="10">
        <v>-5.7000000000000002E-3</v>
      </c>
      <c r="J18" s="18"/>
      <c r="K18" s="19"/>
      <c r="L18" s="19"/>
      <c r="M18" s="19"/>
      <c r="N18" s="19"/>
      <c r="O18" s="19"/>
      <c r="P18" s="19"/>
      <c r="Q18" s="20"/>
    </row>
    <row r="19" spans="2:17" x14ac:dyDescent="0.25">
      <c r="B19" s="7">
        <v>44511</v>
      </c>
      <c r="C19" s="8">
        <v>22.61</v>
      </c>
      <c r="D19" s="8">
        <v>22.42</v>
      </c>
      <c r="E19" s="8">
        <v>22.73</v>
      </c>
      <c r="F19" s="8">
        <v>22.42</v>
      </c>
      <c r="G19" s="9" t="s">
        <v>0</v>
      </c>
      <c r="H19" s="10">
        <v>-1.9900000000000001E-2</v>
      </c>
    </row>
    <row r="20" spans="2:17" x14ac:dyDescent="0.25">
      <c r="B20" s="7">
        <v>44510</v>
      </c>
      <c r="C20" s="8">
        <v>23.07</v>
      </c>
      <c r="D20" s="8">
        <v>23.12</v>
      </c>
      <c r="E20" s="8">
        <v>23.19</v>
      </c>
      <c r="F20" s="8">
        <v>22.81</v>
      </c>
      <c r="G20" s="9" t="s">
        <v>0</v>
      </c>
      <c r="H20" s="10">
        <v>-8.2000000000000007E-3</v>
      </c>
      <c r="O20" s="21" t="s">
        <v>19</v>
      </c>
    </row>
    <row r="21" spans="2:17" x14ac:dyDescent="0.25">
      <c r="B21" s="7">
        <v>44509</v>
      </c>
      <c r="C21" s="8">
        <v>23.26</v>
      </c>
      <c r="D21" s="8">
        <v>22.91</v>
      </c>
      <c r="E21" s="8">
        <v>23.34</v>
      </c>
      <c r="F21" s="8">
        <v>22.91</v>
      </c>
      <c r="G21" s="9" t="s">
        <v>0</v>
      </c>
      <c r="H21" s="10">
        <v>6.4999999999999997E-3</v>
      </c>
      <c r="O21" s="22" t="s">
        <v>13</v>
      </c>
      <c r="P21" s="22"/>
      <c r="Q21" s="22"/>
    </row>
    <row r="22" spans="2:17" x14ac:dyDescent="0.25">
      <c r="B22" s="7">
        <v>44508</v>
      </c>
      <c r="C22" s="8">
        <v>23.11</v>
      </c>
      <c r="D22" s="8">
        <v>23.27</v>
      </c>
      <c r="E22" s="8">
        <v>23.33</v>
      </c>
      <c r="F22" s="8">
        <v>23.11</v>
      </c>
      <c r="G22" s="9" t="s">
        <v>0</v>
      </c>
      <c r="H22" s="10">
        <v>-1.4500000000000001E-2</v>
      </c>
    </row>
    <row r="23" spans="2:17" x14ac:dyDescent="0.25">
      <c r="B23" s="11">
        <v>44505</v>
      </c>
      <c r="C23" s="12">
        <v>23.45</v>
      </c>
      <c r="D23" s="12">
        <v>23.27</v>
      </c>
      <c r="E23" s="12">
        <v>23.47</v>
      </c>
      <c r="F23" s="12">
        <v>23.23</v>
      </c>
      <c r="G23" s="13" t="s">
        <v>12</v>
      </c>
      <c r="H23" s="14">
        <v>0</v>
      </c>
    </row>
  </sheetData>
  <mergeCells count="2">
    <mergeCell ref="J2:Q3"/>
    <mergeCell ref="O21:Q21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2EA03B7-0201-43AB-9264-D6328B919279}">
          <x14:formula1>
            <xm:f>List!$B$2:$B$4</xm:f>
          </x14:formula1>
          <xm:sqref>O21:Q21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8E02D-1E7E-4B00-A402-98450BAA14F8}">
  <sheetPr codeName="wksSETUP"/>
  <dimension ref="B1:K52"/>
  <sheetViews>
    <sheetView workbookViewId="0"/>
  </sheetViews>
  <sheetFormatPr defaultRowHeight="15" x14ac:dyDescent="0.25"/>
  <cols>
    <col min="1" max="1" width="9.140625" style="31"/>
    <col min="2" max="2" width="44.28515625" style="31" bestFit="1" customWidth="1"/>
    <col min="3" max="3" width="77.42578125" style="31" bestFit="1" customWidth="1"/>
    <col min="4" max="4" width="9.140625" style="31"/>
    <col min="5" max="5" width="16.85546875" style="31" customWidth="1"/>
    <col min="6" max="16384" width="9.140625" style="31"/>
  </cols>
  <sheetData>
    <row r="1" spans="2:3" ht="15.75" x14ac:dyDescent="0.25">
      <c r="B1" s="34" t="s">
        <v>20</v>
      </c>
      <c r="C1" s="33" t="s">
        <v>21</v>
      </c>
    </row>
    <row r="2" spans="2:3" x14ac:dyDescent="0.25">
      <c r="B2" s="32" t="s">
        <v>15</v>
      </c>
      <c r="C2" s="32" t="s">
        <v>16</v>
      </c>
    </row>
    <row r="3" spans="2:3" x14ac:dyDescent="0.25">
      <c r="B3" s="32" t="s">
        <v>13</v>
      </c>
      <c r="C3" s="32" t="s">
        <v>14</v>
      </c>
    </row>
    <row r="4" spans="2:3" x14ac:dyDescent="0.25">
      <c r="B4" s="32" t="s">
        <v>18</v>
      </c>
      <c r="C4" s="32" t="s">
        <v>17</v>
      </c>
    </row>
    <row r="52" spans="6:11" x14ac:dyDescent="0.25">
      <c r="F52" s="31" t="s">
        <v>4</v>
      </c>
      <c r="G52" s="31" t="s">
        <v>5</v>
      </c>
      <c r="H52" s="31" t="s">
        <v>6</v>
      </c>
      <c r="I52" s="31" t="s">
        <v>7</v>
      </c>
      <c r="J52" s="31" t="s">
        <v>8</v>
      </c>
      <c r="K52" s="3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1</vt:i4>
      </vt:variant>
    </vt:vector>
  </HeadingPairs>
  <TitlesOfParts>
    <vt:vector size="3" baseType="lpstr">
      <vt:lpstr>Data</vt:lpstr>
      <vt:lpstr>List</vt:lpstr>
      <vt:lpstr>sListing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Kwaśniewski</dc:creator>
  <cp:lastModifiedBy>Tomasz Kwaśniewski</cp:lastModifiedBy>
  <dcterms:created xsi:type="dcterms:W3CDTF">2021-12-04T12:59:24Z</dcterms:created>
  <dcterms:modified xsi:type="dcterms:W3CDTF">2021-12-05T13:43:39Z</dcterms:modified>
</cp:coreProperties>
</file>